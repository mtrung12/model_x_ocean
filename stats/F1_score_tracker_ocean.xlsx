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std\GR\code\model_x_ocean\stats\"/>
    </mc:Choice>
  </mc:AlternateContent>
  <xr:revisionPtr revIDLastSave="0" documentId="13_ncr:1_{F9639D44-C398-4BDC-8E19-2678313251F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1 Score Tracker" sheetId="5" r:id="rId1"/>
    <sheet name="F1 Score Tracker (myp)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6" i="6" l="1"/>
  <c r="E6" i="6"/>
  <c r="H6" i="6"/>
  <c r="K6" i="6"/>
  <c r="N6" i="6"/>
  <c r="Q6" i="6"/>
  <c r="Q13" i="6"/>
  <c r="N13" i="6"/>
  <c r="K13" i="6"/>
  <c r="H13" i="6"/>
  <c r="E13" i="6"/>
  <c r="Q12" i="6"/>
  <c r="N12" i="6"/>
  <c r="K12" i="6"/>
  <c r="H12" i="6"/>
  <c r="E12" i="6"/>
  <c r="Q11" i="6"/>
  <c r="N11" i="6"/>
  <c r="K11" i="6"/>
  <c r="H11" i="6"/>
  <c r="E11" i="6"/>
  <c r="Q10" i="6"/>
  <c r="N10" i="6"/>
  <c r="K10" i="6"/>
  <c r="H10" i="6"/>
  <c r="E10" i="6"/>
  <c r="Q15" i="5"/>
  <c r="R15" i="5" s="1"/>
  <c r="N15" i="5"/>
  <c r="K15" i="5"/>
  <c r="H15" i="5"/>
  <c r="E15" i="5"/>
  <c r="Q16" i="5"/>
  <c r="Q17" i="5"/>
  <c r="Q18" i="5"/>
  <c r="N16" i="5"/>
  <c r="N17" i="5"/>
  <c r="N18" i="5"/>
  <c r="K16" i="5"/>
  <c r="K17" i="5"/>
  <c r="K18" i="5"/>
  <c r="H16" i="5"/>
  <c r="H17" i="5"/>
  <c r="H18" i="5"/>
  <c r="E16" i="5"/>
  <c r="E17" i="5"/>
  <c r="E18" i="5"/>
  <c r="Q11" i="5"/>
  <c r="Q12" i="5"/>
  <c r="Q13" i="5"/>
  <c r="Q14" i="5"/>
  <c r="N12" i="5"/>
  <c r="N13" i="5"/>
  <c r="N14" i="5"/>
  <c r="K12" i="5"/>
  <c r="K13" i="5"/>
  <c r="K14" i="5"/>
  <c r="H12" i="5"/>
  <c r="H13" i="5"/>
  <c r="H14" i="5"/>
  <c r="E11" i="5"/>
  <c r="E12" i="5"/>
  <c r="E13" i="5"/>
  <c r="E14" i="5"/>
  <c r="R6" i="5"/>
  <c r="E19" i="5"/>
  <c r="H19" i="5"/>
  <c r="K19" i="5"/>
  <c r="N19" i="5"/>
  <c r="Q19" i="5"/>
  <c r="E20" i="5"/>
  <c r="H20" i="5"/>
  <c r="K20" i="5"/>
  <c r="N20" i="5"/>
  <c r="Q20" i="5"/>
  <c r="E21" i="5"/>
  <c r="H21" i="5"/>
  <c r="K21" i="5"/>
  <c r="N21" i="5"/>
  <c r="Q21" i="5"/>
  <c r="E22" i="5"/>
  <c r="H22" i="5"/>
  <c r="K22" i="5"/>
  <c r="N22" i="5"/>
  <c r="Q22" i="5"/>
  <c r="N11" i="5"/>
  <c r="K11" i="5"/>
  <c r="H11" i="5"/>
  <c r="Q10" i="5"/>
  <c r="N10" i="5"/>
  <c r="K10" i="5"/>
  <c r="H10" i="5"/>
  <c r="E10" i="5"/>
  <c r="Q9" i="5"/>
  <c r="N9" i="5"/>
  <c r="K9" i="5"/>
  <c r="H9" i="5"/>
  <c r="E9" i="5"/>
  <c r="Q8" i="5"/>
  <c r="N8" i="5"/>
  <c r="K8" i="5"/>
  <c r="H8" i="5"/>
  <c r="E8" i="5"/>
  <c r="Q7" i="5"/>
  <c r="N7" i="5"/>
  <c r="K7" i="5"/>
  <c r="H7" i="5"/>
  <c r="E7" i="5"/>
  <c r="R17" i="5" l="1"/>
  <c r="R14" i="5"/>
  <c r="R13" i="5"/>
  <c r="R18" i="5"/>
  <c r="R16" i="5"/>
  <c r="R12" i="5"/>
  <c r="R10" i="5"/>
  <c r="R9" i="5"/>
  <c r="R11" i="5"/>
  <c r="R8" i="5"/>
  <c r="R7" i="5"/>
</calcChain>
</file>

<file path=xl/sharedStrings.xml><?xml version="1.0" encoding="utf-8"?>
<sst xmlns="http://schemas.openxmlformats.org/spreadsheetml/2006/main" count="66" uniqueCount="26">
  <si>
    <t>F1 Score Tracker — All Models &amp; Traits</t>
  </si>
  <si>
    <t>Model</t>
  </si>
  <si>
    <t>OPE</t>
  </si>
  <si>
    <t>CON</t>
  </si>
  <si>
    <t>EXT</t>
  </si>
  <si>
    <t>AGR</t>
  </si>
  <si>
    <t>NEU</t>
  </si>
  <si>
    <t>F1 High</t>
  </si>
  <si>
    <t>F1 Low</t>
  </si>
  <si>
    <t>Avg F1</t>
  </si>
  <si>
    <t>BERT</t>
  </si>
  <si>
    <t>RoBERTa</t>
  </si>
  <si>
    <t>LSTM</t>
  </si>
  <si>
    <t>SVM</t>
  </si>
  <si>
    <t>DeBERTa</t>
  </si>
  <si>
    <t>Dataset: Essays</t>
  </si>
  <si>
    <t>AVG</t>
  </si>
  <si>
    <t>PADO (gpt 3.5) (theo kết quả paper)</t>
  </si>
  <si>
    <t>gpt 4o mini</t>
  </si>
  <si>
    <t>zeroshot</t>
  </si>
  <si>
    <t>oneshot</t>
  </si>
  <si>
    <t>CoT</t>
  </si>
  <si>
    <t>llama3-8b</t>
  </si>
  <si>
    <t>pipeline</t>
  </si>
  <si>
    <t>Dataset: My personality</t>
  </si>
  <si>
    <t>GPT 4o 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</si>
</sst>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charset val="1"/>
    </font>
    <font>
      <sz val="10"/>
      <color rgb="FF1F1F1F"/>
      <name val="Arial"/>
      <charset val="1"/>
    </font>
    <font>
      <b/>
      <sz val="11"/>
      <color rgb="FFFFFFFF"/>
      <name val="Arial"/>
      <charset val="1"/>
    </font>
    <font>
      <b/>
      <sz val="10"/>
      <color rgb="FF1F1F1F"/>
      <name val="Arial"/>
      <charset val="1"/>
    </font>
    <font>
      <b/>
      <sz val="15"/>
      <color rgb="FFFFFFFF"/>
      <name val="Arial"/>
      <charset val="1"/>
    </font>
    <font>
      <b/>
      <sz val="9"/>
      <color rgb="FFFFFFFF"/>
      <name val="Arial"/>
      <charset val="1"/>
    </font>
    <font>
      <sz val="16"/>
      <color theme="1"/>
      <name val="Calibri"/>
      <family val="2"/>
      <charset val="163"/>
    </font>
    <font>
      <b/>
      <sz val="10"/>
      <color rgb="FF1F1F1F"/>
      <name val="Arial"/>
      <family val="2"/>
      <charset val="163"/>
    </font>
    <font>
      <b/>
      <sz val="11"/>
      <color theme="1"/>
      <name val="Calibri"/>
      <family val="2"/>
      <charset val="163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4472C4"/>
      </patternFill>
    </fill>
    <fill>
      <patternFill patternType="solid">
        <fgColor rgb="FF4472C4"/>
        <bgColor rgb="FF2E5FA3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99CCFF"/>
      </patternFill>
    </fill>
    <fill>
      <patternFill patternType="solid">
        <fgColor rgb="FFFFD966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rgb="FFF2F2F2"/>
      </patternFill>
    </fill>
    <fill>
      <patternFill patternType="solid">
        <fgColor theme="5" tint="0.39997558519241921"/>
        <bgColor rgb="FFFFFF99"/>
      </patternFill>
    </fill>
    <fill>
      <patternFill patternType="solid">
        <fgColor theme="5" tint="0.39997558519241921"/>
        <bgColor rgb="FF99CCFF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BFBFBF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6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1" fillId="8" borderId="1" xfId="0" applyNumberFormat="1" applyFont="1" applyFill="1" applyBorder="1" applyAlignment="1">
      <alignment horizontal="center" vertical="center" wrapText="1"/>
    </xf>
    <xf numFmtId="164" fontId="1" fillId="7" borderId="1" xfId="0" applyNumberFormat="1" applyFont="1" applyFill="1" applyBorder="1" applyAlignment="1">
      <alignment horizontal="center" vertical="center" wrapText="1"/>
    </xf>
    <xf numFmtId="2" fontId="1" fillId="8" borderId="1" xfId="0" applyNumberFormat="1" applyFont="1" applyFill="1" applyBorder="1" applyAlignment="1">
      <alignment horizontal="center" vertical="center" wrapText="1"/>
    </xf>
    <xf numFmtId="2" fontId="1" fillId="7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" fillId="8" borderId="5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3" fillId="6" borderId="6" xfId="0" applyFont="1" applyFill="1" applyBorder="1" applyAlignment="1">
      <alignment horizontal="left" vertical="center" wrapText="1"/>
    </xf>
    <xf numFmtId="2" fontId="8" fillId="0" borderId="0" xfId="0" applyNumberFormat="1" applyFont="1" applyAlignment="1">
      <alignment horizontal="center" vertical="center"/>
    </xf>
    <xf numFmtId="2" fontId="0" fillId="11" borderId="0" xfId="0" applyNumberFormat="1" applyFill="1" applyAlignment="1">
      <alignment horizontal="center" vertical="center"/>
    </xf>
    <xf numFmtId="2" fontId="8" fillId="11" borderId="0" xfId="0" applyNumberFormat="1" applyFont="1" applyFill="1" applyAlignment="1">
      <alignment horizontal="center" vertical="center"/>
    </xf>
    <xf numFmtId="2" fontId="0" fillId="12" borderId="0" xfId="0" applyNumberFormat="1" applyFill="1" applyAlignment="1">
      <alignment horizontal="center" vertical="center"/>
    </xf>
    <xf numFmtId="2" fontId="8" fillId="12" borderId="0" xfId="0" applyNumberFormat="1" applyFont="1" applyFill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/>
    </xf>
    <xf numFmtId="0" fontId="0" fillId="10" borderId="0" xfId="0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left" vertical="center" wrapText="1"/>
    </xf>
    <xf numFmtId="2" fontId="1" fillId="14" borderId="5" xfId="0" applyNumberFormat="1" applyFont="1" applyFill="1" applyBorder="1" applyAlignment="1">
      <alignment horizontal="center" vertical="center" wrapText="1"/>
    </xf>
    <xf numFmtId="2" fontId="1" fillId="14" borderId="1" xfId="0" applyNumberFormat="1" applyFont="1" applyFill="1" applyBorder="1" applyAlignment="1">
      <alignment horizontal="center" vertical="center" wrapText="1"/>
    </xf>
    <xf numFmtId="2" fontId="1" fillId="15" borderId="1" xfId="0" applyNumberFormat="1" applyFont="1" applyFill="1" applyBorder="1" applyAlignment="1">
      <alignment horizontal="center" vertical="center" wrapText="1"/>
    </xf>
    <xf numFmtId="2" fontId="0" fillId="16" borderId="0" xfId="0" applyNumberFormat="1" applyFill="1" applyAlignment="1">
      <alignment horizontal="center" vertical="center"/>
    </xf>
  </cellXfs>
  <cellStyles count="1">
    <cellStyle name="Normal" xfId="0" builtinId="0"/>
  </cellStyles>
  <dxfs count="8">
    <dxf>
      <font>
        <strike val="0"/>
        <u/>
      </font>
    </dxf>
    <dxf>
      <font>
        <strike val="0"/>
        <u/>
      </font>
    </dxf>
    <dxf>
      <font>
        <u val="double"/>
      </font>
    </dxf>
    <dxf>
      <font>
        <u/>
      </font>
    </dxf>
    <dxf>
      <font>
        <strike val="0"/>
        <u/>
      </font>
    </dxf>
    <dxf>
      <font>
        <strike val="0"/>
        <u/>
      </font>
    </dxf>
    <dxf>
      <font>
        <u val="double"/>
      </font>
    </dxf>
    <dxf>
      <font>
        <u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2E5FA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2"/>
  <sheetViews>
    <sheetView showGridLines="0" tabSelected="1" zoomScale="121" zoomScaleNormal="79" workbookViewId="0">
      <pane xSplit="2" ySplit="3" topLeftCell="C7" activePane="bottomRight" state="frozen"/>
      <selection pane="topRight" activeCell="B1" sqref="B1"/>
      <selection pane="bottomLeft" activeCell="A5" sqref="A5"/>
      <selection pane="bottomRight" activeCell="D15" sqref="D15"/>
    </sheetView>
  </sheetViews>
  <sheetFormatPr defaultColWidth="8.6640625" defaultRowHeight="14.4" x14ac:dyDescent="0.3"/>
  <cols>
    <col min="1" max="1" width="12.33203125" customWidth="1"/>
    <col min="2" max="2" width="22" customWidth="1"/>
    <col min="3" max="17" width="9" customWidth="1"/>
    <col min="18" max="18" width="8.6640625" style="7"/>
  </cols>
  <sheetData>
    <row r="1" spans="1:18" ht="27.75" customHeight="1" x14ac:dyDescent="0.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8" ht="14.4" customHeight="1" x14ac:dyDescent="0.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8" ht="21" x14ac:dyDescent="0.4">
      <c r="A3" s="29" t="s">
        <v>15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4" spans="1:18" ht="19.5" customHeight="1" x14ac:dyDescent="0.3">
      <c r="A4" s="21" t="s">
        <v>1</v>
      </c>
      <c r="B4" s="22"/>
      <c r="C4" s="31" t="s">
        <v>2</v>
      </c>
      <c r="D4" s="31"/>
      <c r="E4" s="31"/>
      <c r="F4" s="31" t="s">
        <v>3</v>
      </c>
      <c r="G4" s="31"/>
      <c r="H4" s="31"/>
      <c r="I4" s="31" t="s">
        <v>4</v>
      </c>
      <c r="J4" s="31"/>
      <c r="K4" s="31"/>
      <c r="L4" s="31" t="s">
        <v>5</v>
      </c>
      <c r="M4" s="31"/>
      <c r="N4" s="31"/>
      <c r="O4" s="31" t="s">
        <v>6</v>
      </c>
      <c r="P4" s="31"/>
      <c r="Q4" s="31"/>
      <c r="R4" s="30" t="s">
        <v>16</v>
      </c>
    </row>
    <row r="5" spans="1:18" ht="18" customHeight="1" x14ac:dyDescent="0.3">
      <c r="A5" s="23"/>
      <c r="B5" s="24"/>
      <c r="C5" s="2" t="s">
        <v>7</v>
      </c>
      <c r="D5" s="2" t="s">
        <v>8</v>
      </c>
      <c r="E5" s="2" t="s">
        <v>9</v>
      </c>
      <c r="F5" s="2" t="s">
        <v>7</v>
      </c>
      <c r="G5" s="2" t="s">
        <v>8</v>
      </c>
      <c r="H5" s="2" t="s">
        <v>9</v>
      </c>
      <c r="I5" s="2" t="s">
        <v>7</v>
      </c>
      <c r="J5" s="2" t="s">
        <v>8</v>
      </c>
      <c r="K5" s="2" t="s">
        <v>9</v>
      </c>
      <c r="L5" s="2" t="s">
        <v>7</v>
      </c>
      <c r="M5" s="2" t="s">
        <v>8</v>
      </c>
      <c r="N5" s="2" t="s">
        <v>9</v>
      </c>
      <c r="O5" s="2" t="s">
        <v>7</v>
      </c>
      <c r="P5" s="2" t="s">
        <v>8</v>
      </c>
      <c r="Q5" s="2" t="s">
        <v>9</v>
      </c>
      <c r="R5" s="30"/>
    </row>
    <row r="6" spans="1:18" ht="31.8" customHeight="1" x14ac:dyDescent="0.3">
      <c r="A6" s="26" t="s">
        <v>17</v>
      </c>
      <c r="B6" s="26"/>
      <c r="C6" s="9"/>
      <c r="D6" s="5"/>
      <c r="E6" s="6">
        <v>0.72</v>
      </c>
      <c r="F6" s="5"/>
      <c r="G6" s="5"/>
      <c r="H6" s="6">
        <v>0.68</v>
      </c>
      <c r="I6" s="5"/>
      <c r="J6" s="5"/>
      <c r="K6" s="6">
        <v>0.69</v>
      </c>
      <c r="L6" s="5"/>
      <c r="M6" s="5"/>
      <c r="N6" s="6">
        <v>0.67</v>
      </c>
      <c r="O6" s="5"/>
      <c r="P6" s="5"/>
      <c r="Q6" s="6">
        <v>0.67</v>
      </c>
      <c r="R6" s="8">
        <f xml:space="preserve"> AVERAGE(E6,H6,K6,N6,Q6)</f>
        <v>0.68599999999999994</v>
      </c>
    </row>
    <row r="7" spans="1:18" ht="19.5" customHeight="1" x14ac:dyDescent="0.3">
      <c r="A7" s="20" t="s">
        <v>13</v>
      </c>
      <c r="B7" s="20"/>
      <c r="C7" s="9">
        <v>0.56630000000000003</v>
      </c>
      <c r="D7" s="5">
        <v>0.55920000000000003</v>
      </c>
      <c r="E7" s="6">
        <f t="shared" ref="E7:E10" si="0">IFERROR(AVERAGE(C7,D7),"")</f>
        <v>0.56275000000000008</v>
      </c>
      <c r="F7" s="5">
        <v>0.55640000000000001</v>
      </c>
      <c r="G7" s="5">
        <v>0.51900000000000002</v>
      </c>
      <c r="H7" s="6">
        <f t="shared" ref="H7:H18" si="1">IFERROR(AVERAGE(F7,G7),"")</f>
        <v>0.53770000000000007</v>
      </c>
      <c r="I7" s="5">
        <v>0.54259999999999997</v>
      </c>
      <c r="J7" s="5">
        <v>0.5</v>
      </c>
      <c r="K7" s="6">
        <f t="shared" ref="K7:K18" si="2">IFERROR(AVERAGE(I7,J7),"")</f>
        <v>0.52129999999999999</v>
      </c>
      <c r="L7" s="5">
        <v>0.57140000000000002</v>
      </c>
      <c r="M7" s="5">
        <v>0.48549999999999999</v>
      </c>
      <c r="N7" s="6">
        <f t="shared" ref="N7:N18" si="3">IFERROR(AVERAGE(L7,M7),"")</f>
        <v>0.52844999999999998</v>
      </c>
      <c r="O7" s="5">
        <v>0.57779999999999998</v>
      </c>
      <c r="P7" s="5">
        <v>0.57609999999999995</v>
      </c>
      <c r="Q7" s="6">
        <f t="shared" ref="Q7:Q18" si="4">IFERROR(AVERAGE(O7,P7),"")</f>
        <v>0.57694999999999996</v>
      </c>
      <c r="R7" s="8">
        <f t="shared" ref="R7:R15" si="5" xml:space="preserve"> AVERAGE(E7,H7,K7,N7,Q7)</f>
        <v>0.54542999999999997</v>
      </c>
    </row>
    <row r="8" spans="1:18" ht="19.5" customHeight="1" x14ac:dyDescent="0.3">
      <c r="A8" s="27" t="s">
        <v>12</v>
      </c>
      <c r="B8" s="27"/>
      <c r="C8" s="9">
        <v>0.57089999999999996</v>
      </c>
      <c r="D8" s="5">
        <v>0.54579999999999995</v>
      </c>
      <c r="E8" s="6">
        <f t="shared" si="0"/>
        <v>0.5583499999999999</v>
      </c>
      <c r="F8" s="5">
        <v>0.5413</v>
      </c>
      <c r="G8" s="5">
        <v>0.48820000000000002</v>
      </c>
      <c r="H8" s="6">
        <f t="shared" si="1"/>
        <v>0.51475000000000004</v>
      </c>
      <c r="I8" s="5">
        <v>0.63529999999999998</v>
      </c>
      <c r="J8" s="5">
        <v>0.44779999999999998</v>
      </c>
      <c r="K8" s="6">
        <f t="shared" si="2"/>
        <v>0.54154999999999998</v>
      </c>
      <c r="L8" s="5">
        <v>0.55979999999999996</v>
      </c>
      <c r="M8" s="5">
        <v>0.51490000000000002</v>
      </c>
      <c r="N8" s="6">
        <f t="shared" si="3"/>
        <v>0.53734999999999999</v>
      </c>
      <c r="O8" s="5">
        <v>0.53559999999999997</v>
      </c>
      <c r="P8" s="5">
        <v>0.48609999999999998</v>
      </c>
      <c r="Q8" s="6">
        <f t="shared" si="4"/>
        <v>0.51085000000000003</v>
      </c>
      <c r="R8" s="8">
        <f t="shared" si="5"/>
        <v>0.53256999999999999</v>
      </c>
    </row>
    <row r="9" spans="1:18" ht="19.5" customHeight="1" x14ac:dyDescent="0.3">
      <c r="A9" s="20" t="s">
        <v>10</v>
      </c>
      <c r="B9" s="20"/>
      <c r="C9" s="9">
        <v>0.6391</v>
      </c>
      <c r="D9" s="5">
        <v>0.57889999999999997</v>
      </c>
      <c r="E9" s="6">
        <f t="shared" si="0"/>
        <v>0.60899999999999999</v>
      </c>
      <c r="F9" s="5">
        <v>0.5575</v>
      </c>
      <c r="G9" s="5">
        <v>0.52210000000000001</v>
      </c>
      <c r="H9" s="6">
        <f t="shared" si="1"/>
        <v>0.53980000000000006</v>
      </c>
      <c r="I9" s="5">
        <v>0.58389999999999997</v>
      </c>
      <c r="J9" s="5">
        <v>0.48180000000000001</v>
      </c>
      <c r="K9" s="6">
        <f t="shared" si="2"/>
        <v>0.53285000000000005</v>
      </c>
      <c r="L9" s="5">
        <v>0.55349999999999999</v>
      </c>
      <c r="M9" s="5">
        <v>0.58320000000000005</v>
      </c>
      <c r="N9" s="6">
        <f t="shared" si="3"/>
        <v>0.56835000000000002</v>
      </c>
      <c r="O9" s="5">
        <v>0.58399999999999996</v>
      </c>
      <c r="P9" s="5">
        <v>0.61329999999999996</v>
      </c>
      <c r="Q9" s="6">
        <f t="shared" si="4"/>
        <v>0.5986499999999999</v>
      </c>
      <c r="R9" s="12">
        <f t="shared" si="5"/>
        <v>0.56973000000000007</v>
      </c>
    </row>
    <row r="10" spans="1:18" ht="19.5" customHeight="1" x14ac:dyDescent="0.3">
      <c r="A10" s="27" t="s">
        <v>11</v>
      </c>
      <c r="B10" s="27"/>
      <c r="C10" s="9">
        <v>0.6593</v>
      </c>
      <c r="D10" s="5">
        <v>0.58930000000000005</v>
      </c>
      <c r="E10" s="6">
        <f t="shared" si="0"/>
        <v>0.62430000000000008</v>
      </c>
      <c r="F10" s="5">
        <v>0.60460000000000003</v>
      </c>
      <c r="G10" s="5">
        <v>0.46300000000000002</v>
      </c>
      <c r="H10" s="6">
        <f t="shared" si="1"/>
        <v>0.53380000000000005</v>
      </c>
      <c r="I10" s="5">
        <v>0.61350000000000005</v>
      </c>
      <c r="J10" s="5">
        <v>0.62119999999999997</v>
      </c>
      <c r="K10" s="6">
        <f t="shared" si="2"/>
        <v>0.61735000000000007</v>
      </c>
      <c r="L10" s="5">
        <v>0.64980000000000004</v>
      </c>
      <c r="M10" s="5">
        <v>0.38100000000000001</v>
      </c>
      <c r="N10" s="6">
        <f t="shared" si="3"/>
        <v>0.51540000000000008</v>
      </c>
      <c r="O10" s="5">
        <v>0.41970000000000002</v>
      </c>
      <c r="P10" s="5">
        <v>0.62790000000000001</v>
      </c>
      <c r="Q10" s="6">
        <f t="shared" si="4"/>
        <v>0.52380000000000004</v>
      </c>
      <c r="R10" s="8">
        <f t="shared" si="5"/>
        <v>0.56293000000000004</v>
      </c>
    </row>
    <row r="11" spans="1:18" ht="19.2" customHeight="1" x14ac:dyDescent="0.3">
      <c r="A11" s="20" t="s">
        <v>14</v>
      </c>
      <c r="B11" s="20"/>
      <c r="C11" s="9">
        <v>0.50939999999999996</v>
      </c>
      <c r="D11" s="5">
        <v>0.63119999999999998</v>
      </c>
      <c r="E11" s="6">
        <f>IFERROR(AVERAGE(C11,D11),"")</f>
        <v>0.57030000000000003</v>
      </c>
      <c r="F11" s="5">
        <v>0.60140000000000005</v>
      </c>
      <c r="G11" s="5">
        <v>0.49540000000000001</v>
      </c>
      <c r="H11" s="6">
        <f t="shared" si="1"/>
        <v>0.5484</v>
      </c>
      <c r="I11" s="5">
        <v>0.6018</v>
      </c>
      <c r="J11" s="5">
        <v>0.48959999999999998</v>
      </c>
      <c r="K11" s="6">
        <f t="shared" si="2"/>
        <v>0.54569999999999996</v>
      </c>
      <c r="L11" s="5">
        <v>0.64510000000000001</v>
      </c>
      <c r="M11" s="5">
        <v>0.32350000000000001</v>
      </c>
      <c r="N11" s="6">
        <f t="shared" si="3"/>
        <v>0.48430000000000001</v>
      </c>
      <c r="O11" s="5">
        <v>0.55859999999999999</v>
      </c>
      <c r="P11" s="5">
        <v>0.43419999999999997</v>
      </c>
      <c r="Q11" s="6">
        <f>IFERROR(AVERAGE(O11,P11),"")</f>
        <v>0.49639999999999995</v>
      </c>
      <c r="R11" s="8">
        <f t="shared" si="5"/>
        <v>0.52902000000000005</v>
      </c>
    </row>
    <row r="12" spans="1:18" ht="19.2" customHeight="1" x14ac:dyDescent="0.3">
      <c r="A12" s="18" t="s">
        <v>18</v>
      </c>
      <c r="B12" s="10" t="s">
        <v>19</v>
      </c>
      <c r="C12" s="9">
        <v>0.57999999999999996</v>
      </c>
      <c r="D12" s="5">
        <v>0.59</v>
      </c>
      <c r="E12" s="6">
        <f t="shared" ref="E12:E15" si="6">IFERROR(AVERAGE(C12,D12),"")</f>
        <v>0.58499999999999996</v>
      </c>
      <c r="F12" s="5">
        <v>0.21</v>
      </c>
      <c r="G12" s="5">
        <v>0.67</v>
      </c>
      <c r="H12" s="6">
        <f t="shared" si="1"/>
        <v>0.44</v>
      </c>
      <c r="I12" s="5">
        <v>0.36</v>
      </c>
      <c r="J12" s="5">
        <v>0.63</v>
      </c>
      <c r="K12" s="6">
        <f t="shared" si="2"/>
        <v>0.495</v>
      </c>
      <c r="L12" s="5">
        <v>0.53</v>
      </c>
      <c r="M12" s="5">
        <v>0.57999999999999996</v>
      </c>
      <c r="N12" s="6">
        <f t="shared" si="3"/>
        <v>0.55499999999999994</v>
      </c>
      <c r="O12" s="5">
        <v>0.69</v>
      </c>
      <c r="P12" s="5">
        <v>0.21</v>
      </c>
      <c r="Q12" s="6">
        <f t="shared" si="4"/>
        <v>0.44999999999999996</v>
      </c>
      <c r="R12" s="13">
        <f t="shared" si="5"/>
        <v>0.50500000000000012</v>
      </c>
    </row>
    <row r="13" spans="1:18" ht="20.399999999999999" customHeight="1" x14ac:dyDescent="0.3">
      <c r="A13" s="19"/>
      <c r="B13" s="10" t="s">
        <v>20</v>
      </c>
      <c r="C13" s="9">
        <v>0.56999999999999995</v>
      </c>
      <c r="D13" s="5">
        <v>0.62</v>
      </c>
      <c r="E13" s="6">
        <f t="shared" si="6"/>
        <v>0.59499999999999997</v>
      </c>
      <c r="F13" s="5">
        <v>0.38</v>
      </c>
      <c r="G13" s="5">
        <v>0.67</v>
      </c>
      <c r="H13" s="6">
        <f t="shared" si="1"/>
        <v>0.52500000000000002</v>
      </c>
      <c r="I13" s="5">
        <v>0.39</v>
      </c>
      <c r="J13" s="5">
        <v>0.64</v>
      </c>
      <c r="K13" s="6">
        <f t="shared" si="2"/>
        <v>0.51500000000000001</v>
      </c>
      <c r="L13" s="5">
        <v>0.51</v>
      </c>
      <c r="M13" s="5">
        <v>0.61</v>
      </c>
      <c r="N13" s="6">
        <f t="shared" si="3"/>
        <v>0.56000000000000005</v>
      </c>
      <c r="O13" s="5">
        <v>0.64</v>
      </c>
      <c r="P13" s="5">
        <v>0.46</v>
      </c>
      <c r="Q13" s="6">
        <f t="shared" si="4"/>
        <v>0.55000000000000004</v>
      </c>
      <c r="R13" s="14">
        <f t="shared" si="5"/>
        <v>0.54900000000000004</v>
      </c>
    </row>
    <row r="14" spans="1:18" ht="19.8" customHeight="1" x14ac:dyDescent="0.3">
      <c r="A14" s="19"/>
      <c r="B14" s="10" t="s">
        <v>21</v>
      </c>
      <c r="C14" s="9">
        <v>0.47</v>
      </c>
      <c r="D14" s="5">
        <v>0.49</v>
      </c>
      <c r="E14" s="6">
        <f t="shared" si="6"/>
        <v>0.48</v>
      </c>
      <c r="F14" s="5">
        <v>0.24</v>
      </c>
      <c r="G14" s="5">
        <v>0.68</v>
      </c>
      <c r="H14" s="6">
        <f t="shared" si="1"/>
        <v>0.46</v>
      </c>
      <c r="I14" s="5">
        <v>0.4</v>
      </c>
      <c r="J14" s="5">
        <v>0.62</v>
      </c>
      <c r="K14" s="6">
        <f t="shared" si="2"/>
        <v>0.51</v>
      </c>
      <c r="L14" s="5">
        <v>0.53</v>
      </c>
      <c r="M14" s="5">
        <v>0.57999999999999996</v>
      </c>
      <c r="N14" s="6">
        <f t="shared" si="3"/>
        <v>0.55499999999999994</v>
      </c>
      <c r="O14" s="5">
        <v>0.68</v>
      </c>
      <c r="P14" s="5">
        <v>0.22</v>
      </c>
      <c r="Q14" s="6">
        <f t="shared" si="4"/>
        <v>0.45</v>
      </c>
      <c r="R14" s="13">
        <f t="shared" si="5"/>
        <v>0.49099999999999999</v>
      </c>
    </row>
    <row r="15" spans="1:18" ht="21.6" customHeight="1" x14ac:dyDescent="0.3">
      <c r="A15" s="25"/>
      <c r="B15" s="32" t="s">
        <v>23</v>
      </c>
      <c r="C15" s="33">
        <v>0.75</v>
      </c>
      <c r="D15" s="34">
        <v>0.35709999999999997</v>
      </c>
      <c r="E15" s="35">
        <f t="shared" si="6"/>
        <v>0.55354999999999999</v>
      </c>
      <c r="F15" s="33">
        <v>0.55000000000000004</v>
      </c>
      <c r="G15" s="34">
        <v>0.7</v>
      </c>
      <c r="H15" s="35">
        <f t="shared" si="1"/>
        <v>0.625</v>
      </c>
      <c r="I15" s="34">
        <v>0.66669999999999996</v>
      </c>
      <c r="J15" s="34">
        <v>0.60870000000000002</v>
      </c>
      <c r="K15" s="35">
        <f t="shared" si="2"/>
        <v>0.63769999999999993</v>
      </c>
      <c r="L15" s="34">
        <v>0.66669999999999996</v>
      </c>
      <c r="M15" s="34">
        <v>0.55810000000000004</v>
      </c>
      <c r="N15" s="35">
        <f t="shared" si="3"/>
        <v>0.61240000000000006</v>
      </c>
      <c r="O15" s="34">
        <v>0.64790000000000003</v>
      </c>
      <c r="P15" s="34">
        <v>0.13789999999999999</v>
      </c>
      <c r="Q15" s="35">
        <f t="shared" si="4"/>
        <v>0.39290000000000003</v>
      </c>
      <c r="R15" s="36">
        <f t="shared" si="5"/>
        <v>0.56431000000000009</v>
      </c>
    </row>
    <row r="16" spans="1:18" ht="21.6" customHeight="1" x14ac:dyDescent="0.3">
      <c r="A16" s="18" t="s">
        <v>22</v>
      </c>
      <c r="B16" s="10" t="s">
        <v>19</v>
      </c>
      <c r="C16" s="9">
        <v>0.44</v>
      </c>
      <c r="D16" s="5">
        <v>0.6</v>
      </c>
      <c r="E16" s="6">
        <f t="shared" ref="E16:E18" si="7">IFERROR(AVERAGE(C16,D16),"")</f>
        <v>0.52</v>
      </c>
      <c r="F16" s="5">
        <v>0.28000000000000003</v>
      </c>
      <c r="G16" s="5">
        <v>0.66</v>
      </c>
      <c r="H16" s="6">
        <f t="shared" si="1"/>
        <v>0.47000000000000003</v>
      </c>
      <c r="I16" s="5">
        <v>0.43</v>
      </c>
      <c r="J16" s="5">
        <v>0.65</v>
      </c>
      <c r="K16" s="6">
        <f t="shared" si="2"/>
        <v>0.54</v>
      </c>
      <c r="L16" s="5">
        <v>0.39</v>
      </c>
      <c r="M16" s="5">
        <v>0.62</v>
      </c>
      <c r="N16" s="6">
        <f t="shared" si="3"/>
        <v>0.505</v>
      </c>
      <c r="O16" s="5">
        <v>0.66</v>
      </c>
      <c r="P16" s="5">
        <v>0.13789999999999999</v>
      </c>
      <c r="Q16" s="6">
        <f t="shared" si="4"/>
        <v>0.39895000000000003</v>
      </c>
      <c r="R16" s="15">
        <f t="shared" ref="R16:R18" si="8" xml:space="preserve"> AVERAGE(E16,H16,K16,N16,Q16)</f>
        <v>0.48679000000000006</v>
      </c>
    </row>
    <row r="17" spans="1:18" ht="21.6" customHeight="1" x14ac:dyDescent="0.3">
      <c r="A17" s="19"/>
      <c r="B17" s="10" t="s">
        <v>20</v>
      </c>
      <c r="C17" s="9">
        <v>0.44</v>
      </c>
      <c r="D17" s="5">
        <v>0.62</v>
      </c>
      <c r="E17" s="6">
        <f t="shared" si="7"/>
        <v>0.53</v>
      </c>
      <c r="F17" s="5">
        <v>0.56999999999999995</v>
      </c>
      <c r="G17" s="5">
        <v>0.49</v>
      </c>
      <c r="H17" s="6">
        <f t="shared" si="1"/>
        <v>0.53</v>
      </c>
      <c r="I17" s="5">
        <v>0.42</v>
      </c>
      <c r="J17" s="5">
        <v>0.6</v>
      </c>
      <c r="K17" s="6">
        <f t="shared" si="2"/>
        <v>0.51</v>
      </c>
      <c r="L17" s="5">
        <v>0.6</v>
      </c>
      <c r="M17" s="5">
        <v>0.53</v>
      </c>
      <c r="N17" s="6">
        <f t="shared" si="3"/>
        <v>0.56499999999999995</v>
      </c>
      <c r="O17" s="5">
        <v>0.52</v>
      </c>
      <c r="P17" s="5">
        <v>0.59</v>
      </c>
      <c r="Q17" s="6">
        <f t="shared" si="4"/>
        <v>0.55499999999999994</v>
      </c>
      <c r="R17" s="16">
        <f t="shared" si="8"/>
        <v>0.53799999999999992</v>
      </c>
    </row>
    <row r="18" spans="1:18" ht="21.6" customHeight="1" x14ac:dyDescent="0.3">
      <c r="A18" s="19"/>
      <c r="B18" s="10" t="s">
        <v>21</v>
      </c>
      <c r="C18" s="9">
        <v>0.42</v>
      </c>
      <c r="D18" s="5">
        <v>0.59</v>
      </c>
      <c r="E18" s="6">
        <f t="shared" si="7"/>
        <v>0.505</v>
      </c>
      <c r="F18" s="5">
        <v>0.3</v>
      </c>
      <c r="G18" s="5">
        <v>0.6</v>
      </c>
      <c r="H18" s="6">
        <f t="shared" si="1"/>
        <v>0.44999999999999996</v>
      </c>
      <c r="I18" s="5">
        <v>0.48</v>
      </c>
      <c r="J18" s="5">
        <v>0.63</v>
      </c>
      <c r="K18" s="6">
        <f t="shared" si="2"/>
        <v>0.55499999999999994</v>
      </c>
      <c r="L18" s="5">
        <v>0.44</v>
      </c>
      <c r="M18" s="5">
        <v>0.6</v>
      </c>
      <c r="N18" s="6">
        <f t="shared" si="3"/>
        <v>0.52</v>
      </c>
      <c r="O18" s="5">
        <v>0.65</v>
      </c>
      <c r="P18" s="5">
        <v>0.31</v>
      </c>
      <c r="Q18" s="6">
        <f t="shared" si="4"/>
        <v>0.48</v>
      </c>
      <c r="R18" s="15">
        <f t="shared" si="8"/>
        <v>0.502</v>
      </c>
    </row>
    <row r="19" spans="1:18" ht="19.2" customHeight="1" x14ac:dyDescent="0.3">
      <c r="B19" s="11"/>
      <c r="C19" s="3"/>
      <c r="D19" s="3"/>
      <c r="E19" s="4" t="str">
        <f t="shared" ref="E19:E22" si="9">IFERROR(AVERAGE(C19,D19),"")</f>
        <v/>
      </c>
      <c r="F19" s="3"/>
      <c r="G19" s="3"/>
      <c r="H19" s="4" t="str">
        <f t="shared" ref="H19:H22" si="10">IFERROR(AVERAGE(F19,G19),"")</f>
        <v/>
      </c>
      <c r="I19" s="3"/>
      <c r="J19" s="3"/>
      <c r="K19" s="4" t="str">
        <f t="shared" ref="K19:K22" si="11">IFERROR(AVERAGE(I19,J19),"")</f>
        <v/>
      </c>
      <c r="L19" s="3"/>
      <c r="M19" s="3"/>
      <c r="N19" s="4" t="str">
        <f t="shared" ref="N19:N22" si="12">IFERROR(AVERAGE(L19,M19),"")</f>
        <v/>
      </c>
      <c r="O19" s="3"/>
      <c r="P19" s="3"/>
      <c r="Q19" s="4" t="str">
        <f t="shared" ref="Q19:Q22" si="13">IFERROR(AVERAGE(O19,P19),"")</f>
        <v/>
      </c>
    </row>
    <row r="20" spans="1:18" ht="21" customHeight="1" x14ac:dyDescent="0.3">
      <c r="B20" s="1"/>
      <c r="C20" s="3"/>
      <c r="D20" s="3"/>
      <c r="E20" s="4" t="str">
        <f t="shared" si="9"/>
        <v/>
      </c>
      <c r="F20" s="3"/>
      <c r="G20" s="3"/>
      <c r="H20" s="4" t="str">
        <f t="shared" si="10"/>
        <v/>
      </c>
      <c r="I20" s="3"/>
      <c r="J20" s="3"/>
      <c r="K20" s="4" t="str">
        <f t="shared" si="11"/>
        <v/>
      </c>
      <c r="L20" s="3"/>
      <c r="M20" s="3"/>
      <c r="N20" s="4" t="str">
        <f t="shared" si="12"/>
        <v/>
      </c>
      <c r="O20" s="3"/>
      <c r="P20" s="3"/>
      <c r="Q20" s="4" t="str">
        <f t="shared" si="13"/>
        <v/>
      </c>
    </row>
    <row r="21" spans="1:18" ht="19.8" customHeight="1" x14ac:dyDescent="0.3">
      <c r="B21" s="1"/>
      <c r="C21" s="3"/>
      <c r="D21" s="3"/>
      <c r="E21" s="4" t="str">
        <f t="shared" si="9"/>
        <v/>
      </c>
      <c r="F21" s="3"/>
      <c r="G21" s="3"/>
      <c r="H21" s="4" t="str">
        <f t="shared" si="10"/>
        <v/>
      </c>
      <c r="I21" s="3"/>
      <c r="J21" s="3"/>
      <c r="K21" s="4" t="str">
        <f t="shared" si="11"/>
        <v/>
      </c>
      <c r="L21" s="3"/>
      <c r="M21" s="3"/>
      <c r="N21" s="4" t="str">
        <f t="shared" si="12"/>
        <v/>
      </c>
      <c r="O21" s="3"/>
      <c r="P21" s="3"/>
      <c r="Q21" s="4" t="str">
        <f t="shared" si="13"/>
        <v/>
      </c>
    </row>
    <row r="22" spans="1:18" ht="19.2" customHeight="1" x14ac:dyDescent="0.3">
      <c r="B22" s="1"/>
      <c r="C22" s="3"/>
      <c r="D22" s="3"/>
      <c r="E22" s="4" t="str">
        <f t="shared" si="9"/>
        <v/>
      </c>
      <c r="F22" s="3"/>
      <c r="G22" s="3"/>
      <c r="H22" s="4" t="str">
        <f t="shared" si="10"/>
        <v/>
      </c>
      <c r="I22" s="3"/>
      <c r="J22" s="3"/>
      <c r="K22" s="4" t="str">
        <f t="shared" si="11"/>
        <v/>
      </c>
      <c r="L22" s="3"/>
      <c r="M22" s="3"/>
      <c r="N22" s="4" t="str">
        <f t="shared" si="12"/>
        <v/>
      </c>
      <c r="O22" s="3"/>
      <c r="P22" s="3"/>
      <c r="Q22" s="4" t="str">
        <f t="shared" si="13"/>
        <v/>
      </c>
    </row>
  </sheetData>
  <mergeCells count="17">
    <mergeCell ref="A1:Q2"/>
    <mergeCell ref="A3:Q3"/>
    <mergeCell ref="R4:R5"/>
    <mergeCell ref="O4:Q4"/>
    <mergeCell ref="C4:E4"/>
    <mergeCell ref="F4:H4"/>
    <mergeCell ref="I4:K4"/>
    <mergeCell ref="L4:N4"/>
    <mergeCell ref="A16:A18"/>
    <mergeCell ref="A11:B11"/>
    <mergeCell ref="A4:B5"/>
    <mergeCell ref="A12:A15"/>
    <mergeCell ref="A6:B6"/>
    <mergeCell ref="A7:B7"/>
    <mergeCell ref="A8:B8"/>
    <mergeCell ref="A9:B9"/>
    <mergeCell ref="A10:B10"/>
  </mergeCells>
  <conditionalFormatting sqref="C4:C1048576 F15">
    <cfRule type="expression" dxfId="7" priority="17">
      <formula>C4=MAX($C$1:$C$105)</formula>
    </cfRule>
  </conditionalFormatting>
  <conditionalFormatting sqref="D4:D1048576 G15">
    <cfRule type="expression" dxfId="6" priority="20">
      <formula>D4=MAX($D$1:$D$105)</formula>
    </cfRule>
  </conditionalFormatting>
  <conditionalFormatting sqref="E6:E22">
    <cfRule type="expression" dxfId="5" priority="2">
      <formula>"E2=MAX($E$6:$E$100)"</formula>
    </cfRule>
  </conditionalFormatting>
  <conditionalFormatting sqref="F6:F22">
    <cfRule type="expression" dxfId="4" priority="1">
      <formula>"F2=MAX($F$2:$F$100)"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1D4D4-E3D7-4595-BA41-1ED124C5AEC0}">
  <dimension ref="A1:R13"/>
  <sheetViews>
    <sheetView showGridLines="0" zoomScale="121" zoomScaleNormal="79" workbookViewId="0">
      <pane xSplit="2" ySplit="3" topLeftCell="D4" activePane="bottomRight" state="frozen"/>
      <selection pane="topRight" activeCell="B1" sqref="B1"/>
      <selection pane="bottomLeft" activeCell="A5" sqref="A5"/>
      <selection pane="bottomRight" activeCell="R7" sqref="R7"/>
    </sheetView>
  </sheetViews>
  <sheetFormatPr defaultColWidth="8.6640625" defaultRowHeight="14.4" x14ac:dyDescent="0.3"/>
  <cols>
    <col min="1" max="1" width="12.33203125" customWidth="1"/>
    <col min="2" max="2" width="22" customWidth="1"/>
    <col min="3" max="17" width="9" customWidth="1"/>
    <col min="18" max="18" width="8.6640625" style="7"/>
  </cols>
  <sheetData>
    <row r="1" spans="1:18" ht="27.75" customHeight="1" x14ac:dyDescent="0.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8" ht="14.4" customHeight="1" x14ac:dyDescent="0.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8" ht="21" x14ac:dyDescent="0.4">
      <c r="A3" s="29" t="s">
        <v>24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4" spans="1:18" ht="19.5" customHeight="1" x14ac:dyDescent="0.3">
      <c r="A4" s="21" t="s">
        <v>1</v>
      </c>
      <c r="B4" s="22"/>
      <c r="C4" s="31" t="s">
        <v>2</v>
      </c>
      <c r="D4" s="31"/>
      <c r="E4" s="31"/>
      <c r="F4" s="31" t="s">
        <v>3</v>
      </c>
      <c r="G4" s="31"/>
      <c r="H4" s="31"/>
      <c r="I4" s="31" t="s">
        <v>4</v>
      </c>
      <c r="J4" s="31"/>
      <c r="K4" s="31"/>
      <c r="L4" s="31" t="s">
        <v>5</v>
      </c>
      <c r="M4" s="31"/>
      <c r="N4" s="31"/>
      <c r="O4" s="31" t="s">
        <v>6</v>
      </c>
      <c r="P4" s="31"/>
      <c r="Q4" s="31"/>
      <c r="R4" s="30" t="s">
        <v>16</v>
      </c>
    </row>
    <row r="5" spans="1:18" ht="18" customHeight="1" x14ac:dyDescent="0.3">
      <c r="A5" s="23"/>
      <c r="B5" s="24"/>
      <c r="C5" s="2" t="s">
        <v>7</v>
      </c>
      <c r="D5" s="2" t="s">
        <v>8</v>
      </c>
      <c r="E5" s="2" t="s">
        <v>9</v>
      </c>
      <c r="F5" s="2" t="s">
        <v>7</v>
      </c>
      <c r="G5" s="2" t="s">
        <v>8</v>
      </c>
      <c r="H5" s="2" t="s">
        <v>9</v>
      </c>
      <c r="I5" s="2" t="s">
        <v>7</v>
      </c>
      <c r="J5" s="2" t="s">
        <v>8</v>
      </c>
      <c r="K5" s="2" t="s">
        <v>9</v>
      </c>
      <c r="L5" s="2" t="s">
        <v>7</v>
      </c>
      <c r="M5" s="2" t="s">
        <v>8</v>
      </c>
      <c r="N5" s="2" t="s">
        <v>9</v>
      </c>
      <c r="O5" s="2" t="s">
        <v>7</v>
      </c>
      <c r="P5" s="2" t="s">
        <v>8</v>
      </c>
      <c r="Q5" s="2" t="s">
        <v>9</v>
      </c>
      <c r="R5" s="30"/>
    </row>
    <row r="6" spans="1:18" ht="21.6" customHeight="1" x14ac:dyDescent="0.3">
      <c r="A6" s="17" t="s">
        <v>25</v>
      </c>
      <c r="B6" s="10" t="s">
        <v>23</v>
      </c>
      <c r="C6" s="9">
        <v>0.74670000000000003</v>
      </c>
      <c r="D6" s="5">
        <v>0.24</v>
      </c>
      <c r="E6" s="6">
        <f t="shared" ref="E6:E13" si="0">IFERROR(AVERAGE(C6,D6),"")</f>
        <v>0.49335000000000001</v>
      </c>
      <c r="F6" s="9">
        <v>0.55810000000000004</v>
      </c>
      <c r="G6" s="5">
        <v>0.66669999999999996</v>
      </c>
      <c r="H6" s="6">
        <f t="shared" ref="H6:H13" si="1">IFERROR(AVERAGE(F6,G6),"")</f>
        <v>0.61240000000000006</v>
      </c>
      <c r="I6" s="5">
        <v>0.375</v>
      </c>
      <c r="J6" s="5">
        <v>0.42309999999999998</v>
      </c>
      <c r="K6" s="6">
        <f t="shared" ref="K6:K13" si="2">IFERROR(AVERAGE(I6,J6),"")</f>
        <v>0.39905000000000002</v>
      </c>
      <c r="L6" s="5">
        <v>0.61539999999999995</v>
      </c>
      <c r="M6" s="5">
        <v>0.28570000000000001</v>
      </c>
      <c r="N6" s="6">
        <f t="shared" ref="N6:N13" si="3">IFERROR(AVERAGE(L6,M6),"")</f>
        <v>0.45055000000000001</v>
      </c>
      <c r="O6" s="5">
        <v>0.66669999999999996</v>
      </c>
      <c r="P6" s="5">
        <v>0.1429</v>
      </c>
      <c r="Q6" s="6">
        <f t="shared" ref="Q6:Q13" si="4">IFERROR(AVERAGE(O6,P6),"")</f>
        <v>0.40479999999999999</v>
      </c>
      <c r="R6" s="15">
        <f xml:space="preserve"> AVERAGE(E6,H6,K6,N6,Q6)</f>
        <v>0.47203000000000001</v>
      </c>
    </row>
    <row r="7" spans="1:18" ht="21.6" customHeight="1" x14ac:dyDescent="0.3">
      <c r="A7" s="18" t="s">
        <v>22</v>
      </c>
      <c r="B7" s="10"/>
      <c r="C7" s="9"/>
      <c r="D7" s="5"/>
      <c r="E7" s="6"/>
      <c r="F7" s="5"/>
      <c r="G7" s="5"/>
      <c r="H7" s="6"/>
      <c r="I7" s="5"/>
      <c r="J7" s="5"/>
      <c r="K7" s="6"/>
      <c r="L7" s="5"/>
      <c r="M7" s="5"/>
      <c r="N7" s="6"/>
      <c r="O7" s="5"/>
      <c r="P7" s="5"/>
      <c r="Q7" s="6"/>
      <c r="R7" s="15"/>
    </row>
    <row r="8" spans="1:18" ht="21.6" customHeight="1" x14ac:dyDescent="0.3">
      <c r="A8" s="19"/>
      <c r="B8" s="10"/>
      <c r="C8" s="9"/>
      <c r="D8" s="5"/>
      <c r="E8" s="6"/>
      <c r="F8" s="5"/>
      <c r="G8" s="5"/>
      <c r="H8" s="6"/>
      <c r="I8" s="5"/>
      <c r="J8" s="5"/>
      <c r="K8" s="6"/>
      <c r="L8" s="5"/>
      <c r="M8" s="5"/>
      <c r="N8" s="6"/>
      <c r="O8" s="5"/>
      <c r="P8" s="5"/>
      <c r="Q8" s="6"/>
      <c r="R8" s="16"/>
    </row>
    <row r="9" spans="1:18" ht="21.6" customHeight="1" x14ac:dyDescent="0.3">
      <c r="A9" s="19"/>
      <c r="B9" s="10"/>
      <c r="C9" s="9"/>
      <c r="D9" s="5"/>
      <c r="E9" s="6"/>
      <c r="F9" s="5"/>
      <c r="G9" s="5"/>
      <c r="H9" s="6"/>
      <c r="I9" s="5"/>
      <c r="J9" s="5"/>
      <c r="K9" s="6"/>
      <c r="L9" s="5"/>
      <c r="M9" s="5"/>
      <c r="N9" s="6"/>
      <c r="O9" s="5"/>
      <c r="P9" s="5"/>
      <c r="Q9" s="6"/>
      <c r="R9" s="15"/>
    </row>
    <row r="10" spans="1:18" ht="19.2" customHeight="1" x14ac:dyDescent="0.3">
      <c r="B10" s="11"/>
      <c r="C10" s="3"/>
      <c r="D10" s="3"/>
      <c r="E10" s="4" t="str">
        <f t="shared" si="0"/>
        <v/>
      </c>
      <c r="F10" s="3"/>
      <c r="G10" s="3"/>
      <c r="H10" s="4" t="str">
        <f t="shared" si="1"/>
        <v/>
      </c>
      <c r="I10" s="3"/>
      <c r="J10" s="3"/>
      <c r="K10" s="4" t="str">
        <f t="shared" si="2"/>
        <v/>
      </c>
      <c r="L10" s="3"/>
      <c r="M10" s="3"/>
      <c r="N10" s="4" t="str">
        <f t="shared" si="3"/>
        <v/>
      </c>
      <c r="O10" s="3"/>
      <c r="P10" s="3"/>
      <c r="Q10" s="4" t="str">
        <f t="shared" si="4"/>
        <v/>
      </c>
    </row>
    <row r="11" spans="1:18" ht="21" customHeight="1" x14ac:dyDescent="0.3">
      <c r="B11" s="1"/>
      <c r="C11" s="3"/>
      <c r="D11" s="3"/>
      <c r="E11" s="4" t="str">
        <f t="shared" si="0"/>
        <v/>
      </c>
      <c r="F11" s="3"/>
      <c r="G11" s="3"/>
      <c r="H11" s="4" t="str">
        <f t="shared" si="1"/>
        <v/>
      </c>
      <c r="I11" s="3"/>
      <c r="J11" s="3"/>
      <c r="K11" s="4" t="str">
        <f t="shared" si="2"/>
        <v/>
      </c>
      <c r="L11" s="3"/>
      <c r="M11" s="3"/>
      <c r="N11" s="4" t="str">
        <f t="shared" si="3"/>
        <v/>
      </c>
      <c r="O11" s="3"/>
      <c r="P11" s="3"/>
      <c r="Q11" s="4" t="str">
        <f t="shared" si="4"/>
        <v/>
      </c>
    </row>
    <row r="12" spans="1:18" ht="19.8" customHeight="1" x14ac:dyDescent="0.3">
      <c r="B12" s="1"/>
      <c r="C12" s="3"/>
      <c r="D12" s="3"/>
      <c r="E12" s="4" t="str">
        <f t="shared" si="0"/>
        <v/>
      </c>
      <c r="F12" s="3"/>
      <c r="G12" s="3"/>
      <c r="H12" s="4" t="str">
        <f t="shared" si="1"/>
        <v/>
      </c>
      <c r="I12" s="3"/>
      <c r="J12" s="3"/>
      <c r="K12" s="4" t="str">
        <f t="shared" si="2"/>
        <v/>
      </c>
      <c r="L12" s="3"/>
      <c r="M12" s="3"/>
      <c r="N12" s="4" t="str">
        <f t="shared" si="3"/>
        <v/>
      </c>
      <c r="O12" s="3"/>
      <c r="P12" s="3"/>
      <c r="Q12" s="4" t="str">
        <f t="shared" si="4"/>
        <v/>
      </c>
    </row>
    <row r="13" spans="1:18" ht="19.2" customHeight="1" x14ac:dyDescent="0.3">
      <c r="B13" s="1"/>
      <c r="C13" s="3"/>
      <c r="D13" s="3"/>
      <c r="E13" s="4" t="str">
        <f t="shared" si="0"/>
        <v/>
      </c>
      <c r="F13" s="3"/>
      <c r="G13" s="3"/>
      <c r="H13" s="4" t="str">
        <f t="shared" si="1"/>
        <v/>
      </c>
      <c r="I13" s="3"/>
      <c r="J13" s="3"/>
      <c r="K13" s="4" t="str">
        <f t="shared" si="2"/>
        <v/>
      </c>
      <c r="L13" s="3"/>
      <c r="M13" s="3"/>
      <c r="N13" s="4" t="str">
        <f t="shared" si="3"/>
        <v/>
      </c>
      <c r="O13" s="3"/>
      <c r="P13" s="3"/>
      <c r="Q13" s="4" t="str">
        <f t="shared" si="4"/>
        <v/>
      </c>
    </row>
  </sheetData>
  <mergeCells count="10">
    <mergeCell ref="A7:A9"/>
    <mergeCell ref="R4:R5"/>
    <mergeCell ref="A1:Q2"/>
    <mergeCell ref="A3:Q3"/>
    <mergeCell ref="A4:B5"/>
    <mergeCell ref="C4:E4"/>
    <mergeCell ref="F4:H4"/>
    <mergeCell ref="I4:K4"/>
    <mergeCell ref="L4:N4"/>
    <mergeCell ref="O4:Q4"/>
  </mergeCells>
  <conditionalFormatting sqref="C4:C1048576 F6">
    <cfRule type="expression" dxfId="3" priority="3">
      <formula>C4=MAX($C$1:$C$96)</formula>
    </cfRule>
  </conditionalFormatting>
  <conditionalFormatting sqref="D4:D1048576 G6">
    <cfRule type="expression" dxfId="2" priority="4">
      <formula>D4=MAX($D$1:$D$96)</formula>
    </cfRule>
  </conditionalFormatting>
  <conditionalFormatting sqref="E6:E13">
    <cfRule type="expression" dxfId="1" priority="2">
      <formula>"E2=MAX($E$6:$E$100)"</formula>
    </cfRule>
  </conditionalFormatting>
  <conditionalFormatting sqref="F6:F13">
    <cfRule type="expression" dxfId="0" priority="1">
      <formula>"F2=MAX($F$2:$F$100)"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F1 Score Tracker</vt:lpstr>
      <vt:lpstr>F1 Score Tracker (myp)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Ngo Minh Trung 20226004</cp:lastModifiedBy>
  <cp:revision>0</cp:revision>
  <dcterms:created xsi:type="dcterms:W3CDTF">2026-03-13T10:50:27Z</dcterms:created>
  <dcterms:modified xsi:type="dcterms:W3CDTF">2026-05-19T03:22:51Z</dcterms:modified>
  <dc:language>en-US</dc:language>
</cp:coreProperties>
</file>